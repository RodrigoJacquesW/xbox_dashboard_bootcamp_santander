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drigo\Desktop\"/>
    </mc:Choice>
  </mc:AlternateContent>
  <xr:revisionPtr revIDLastSave="0" documentId="8_{6F932D47-B6E8-42D5-AEB2-1F088F533942}" xr6:coauthVersionLast="47" xr6:coauthVersionMax="47" xr10:uidLastSave="{00000000-0000-0000-0000-000000000000}"/>
  <bookViews>
    <workbookView xWindow="-120" yWindow="-120" windowWidth="29040" windowHeight="158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<sst xmlns="http://schemas.openxmlformats.org/spreadsheetml/2006/main" count="2025" uniqueCount="324">
  <si>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</si>
  <si>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</si>
  <si>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</si>
  <si>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</si>
  <si>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</si>
  <si>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</si>
  <si>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</si>
  <si>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</si>
  <si>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</si>
  <si>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</si>
  <si>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</si>
  <si>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</si>
  <si>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</si>
  <si>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</si>
  <si>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</si>
  <si>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</si>
  <si>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</si>
  <si>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</si>
  <si>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</si>
  <si>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</si>
  <si>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</si>
  <si>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</si>
  <si>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</si>
  <si>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</si>
  <si>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</si>
  <si>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</si>
  <si>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</si>
  <si>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</si>
  <si>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</si>
  <si>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</si>
  <si>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</si>
  <si>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</si>
  <si>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</si>
  <si>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</si>
  <si>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</si>
  <si>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</si>
  <si>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</si>
  <si>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</si>
  <si>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</si>
  <si>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</si>
  <si>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</si>
  <si>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</si>
  <si>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</si>
  <si>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</si>
  <si>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</si>
  <si>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</si>
  <si>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</si>
  <si>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</si>
  <si>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</si>
  <si>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</si>
  <si>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</si>
  <si>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</si>
  <si>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</si>
  <si>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</si>
  <si>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</si>
  <si>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</si>
  <si>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</si>
  <si>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</si>
  <si>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</si>
  <si>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</si>
  <si>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</si>
  <si>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</si>
  <si>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</si>
  <si>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</si>
  <si>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</si>
  <si>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</si>
  <si>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</si>
  <si>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</si>
  <si>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</si>
  <si>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</si>
  <si>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</si>
  <si>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</si>
  <si>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</si>
  <si>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</si>
  <si>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</si>
  <si>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</si>
  <si>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</si>
  <si>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</si>
  <si>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</si>
  <si>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</si>
  <si>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</si>
  <si>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</si>
  <si>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</si>
  <si>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</si>
  <si>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</si>
  <si>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</si>
  <si>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</si>
  <si>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</si>
  <si>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</si>
  <si>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</si>
  <si>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</si>
  <si>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</si>
  <si>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</si>
  <si>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</si>
  <si>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</si>
  <si>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</si>
  <si>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</si>
  <si>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</si>
  <si>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</si>
  <si>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</si>
  <si>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</si>
  <si>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</si>
  <si>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</si>
  <si>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</si>
  <si>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</si>
  <si>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</si>
  <si>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</si>
  <si>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</si>
  <si>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</si>
  <si>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</si>
  <si>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</si>
  <si>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</si>
  <si>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</si>
  <si>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</si>
  <si>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</si>
  <si>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</si>
  <si>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</si>
  <si>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</si>
  <si>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</si>
  <si>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</si>
  <si>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</si>
  <si>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</si>
  <si>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</si>
  <si>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</si>
  <si>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</si>
  <si>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</si>
  <si>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</si>
  <si>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</si>
  <si>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</si>
  <si>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</si>
  <si>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</si>
  <si>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</si>
  <si>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</si>
  <si>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</si>
  <si>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</si>
  <si>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</si>
  <si>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</si>
  <si>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</si>
  <si>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</si>
  <si>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</si>
  <si>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</si>
  <si>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</si>
  <si>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</si>
  <si>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</si>
  <si>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</si>
  <si>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</si>
  <si>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</si>
  <si>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</si>
  <si>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</si>
  <si>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</si>
  <si>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</si>
  <si>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</si>
  <si>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</si>
  <si>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</si>
  <si>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</si>
  <si>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</si>
  <si>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</si>
  <si>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</si>
  <si>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</si>
  <si>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</si>
  <si>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</si>
  <si>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</si>
  <si>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</si>
  <si>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</si>
  <si>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</si>
  <si>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</si>
  <si>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</si>
  <si>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</si>
  <si>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</si>
  <si>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</si>
  <si>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</si>
  <si>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</si>
  <si>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</si>
  <si>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</si>
  <si>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</si>
  <si>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</si>
  <si>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</si>
  <si>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</si>
  <si>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</si>
  <si>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</si>
  <si>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</si>
  <si>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</si>
  <si>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</si>
  <si>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</si>
  <si>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</si>
  <si>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</si>
  <si>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</si>
  <si>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</si>
  <si>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</si>
  <si>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</si>
  <si>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</si>
  <si>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</si>
  <si>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</si>
  <si>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</si>
  <si>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</si>
  <si>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</si>
  <si>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</si>
  <si>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</si>
  <si>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</si>
  <si>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</si>
  <si>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</si>
  <si>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</si>
  <si>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</si>
  <si>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</si>
  <si>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</si>
  <si>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</si>
  <si>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</si>
  <si>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</si>
  <si>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</si>
  <si>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</si>
  <si>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</si>
  <si>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</si>
  <si>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</si>
  <si>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</si>
  <si>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</si>
  <si>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</si>
  <si>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</si>
  <si>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</si>
  <si>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</si>
  <si>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</si>
  <si>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</si>
  <si>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</si>
  <si>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</si>
  <si>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</si>
  <si>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</si>
  <si>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</si>
  <si>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</si>
  <si>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</si>
  <si>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</si>
  <si>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</si>
  <si>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</si>
  <si>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</si>
  <si>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</si>
  <si>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</si>
  <si>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</si>
  <si>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</si>
  <si>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</si>
  <si>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</si>
  <si>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</si>
  <si>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</si>
  <si>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</si>
  <si>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</si>
  <si>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</si>
  <si>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</si>
  <si>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</si>
  <si>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</si>
  <si>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</si>
  <si>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</si>
  <si>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</si>
  <si>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</si>
  <si>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</si>
  <si>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</si>
  <si>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</si>
  <si>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</si>
  <si>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</si>
  <si>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</si>
  <si>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</si>
  <si>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</si>
  <si>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</si>
  <si>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</si>
  <si>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</si>
  <si>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</si>
  <si>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</si>
  <si>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</si>
  <si>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</si>
  <si>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</si>
  <si>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</si>
  <si>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</si>
  <si>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</si>
  <si>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</si>
  <si>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</si>
  <si>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</si>
  <si>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</si>
  <si>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</si>
  <si>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</si>
  <si>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</si>
  <si>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</si>
  <si>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</si>
  <si>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</si>
  <si>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</si>
  <si>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</si>
  <si>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</si>
  <si>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</si>
  <si>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</si>
  <si>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</si>
  <si>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</si>
  <si>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</si>
  <si>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</si>
  <si>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</si>
  <si>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</si>
  <si>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</si>
  <si>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</si>
  <si>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</si>
  <si>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</si>
  <si>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</si>
  <si>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</si>
  <si>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</si>
  <si>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</si>
  <si>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</si>
  <si>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</si>
  <si>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</si>
  <si>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</si>
  <si>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</si>
  <si>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</si>
  <si>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</si>
  <si>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</si>
  <si>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</si>
  <si>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</si>
  <si>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</si>
  <si>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</si>
  <si>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</si>
  <si>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</si>
  <si>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</si>
  <si>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1- Qual o Faturamento por plano?</t>
  </si>
  <si>
    <t>Rótulos de Linha</t>
  </si>
  <si>
    <t>Total Geral</t>
  </si>
  <si>
    <t>Soma de Total Value</t>
  </si>
  <si>
    <t>(Tudo)</t>
  </si>
  <si>
    <t>2- Qual a porcentagem de cobranças automáticas ?</t>
  </si>
  <si>
    <t>Contagem de Auto Renewal</t>
  </si>
  <si>
    <t>3- Qual o faturamento por tempo de inscriçção?</t>
  </si>
  <si>
    <t>Xbox Dashboard - Assignatures</t>
  </si>
  <si>
    <t>4- Qual o valor do desconto por plano?</t>
  </si>
  <si>
    <t>Soma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</si>
</sst>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4" fillId="0" borderId="2" xfId="1" applyFont="1" applyBorder="1" applyAlignment="1">
      <alignment horizontal="left" vertical="center"/>
    </xf>
    <xf numFmtId="0" fontId="4" fillId="0" borderId="2" xfId="1" applyFont="1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Other2 2" pivot="0" table="0" count="10" xr9:uid="{0A0984B3-25F8-4E60-9F98-18B0F587CD6A}">
      <tableStyleElement type="wholeTable" dxfId="1"/>
      <tableStyleElement type="headerRow" dxfId="0"/>
    </tableStyle>
  </tableStyles>
  <colors>
    <mruColors>
      <color rgb="FF22C55E"/>
      <color rgb="FF5BF6A8"/>
      <color rgb="FF000000"/>
      <color rgb="FFE8E6E9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4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[xbox_dashboard.xlsx]C̳álculos!billing_x_assignatures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baseline="0">
                <a:latin typeface="Consolas" panose="020B0609020204030204" pitchFamily="49" charset="0"/>
              </a:rPr>
              <a:t>BILLING X ASSIGNATURES</a:t>
            </a:r>
            <a:endParaRPr lang="en-US" sz="1800" b="1">
              <a:latin typeface="Consolas" panose="020B0609020204030204" pitchFamily="49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0555555555555555E-2"/>
          <c:y val="0.17171296296296298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C̳álculos!$B$7:$B$10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C̳álculos!$C$7:$C$10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D-42F8-AC0F-D1E77014A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547376"/>
        <c:axId val="164806672"/>
      </c:barChart>
      <c:catAx>
        <c:axId val="200854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806672"/>
        <c:crosses val="autoZero"/>
        <c:auto val="1"/>
        <c:lblAlgn val="ctr"/>
        <c:lblOffset val="100"/>
        <c:noMultiLvlLbl val="0"/>
      </c:catAx>
      <c:valAx>
        <c:axId val="164806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854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[xbox_dashboard.xlsx]C̳álculos!percent_auto_revewal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latin typeface="Consolas" panose="020B0609020204030204" pitchFamily="49" charset="0"/>
              </a:rPr>
              <a:t>Percent Auto Revewal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50-4786-B09D-E54AB6D6F946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50-4786-B09D-E54AB6D6F9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C̳álculos!$B$18:$B$20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C̳álculos!$C$18:$C$20</c:f>
              <c:numCache>
                <c:formatCode>0.00%</c:formatCode>
                <c:ptCount val="2"/>
                <c:pt idx="0">
                  <c:v>0.49830508474576274</c:v>
                </c:pt>
                <c:pt idx="1">
                  <c:v>0.50169491525423726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50-4786-B09D-E54AB6D6F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[xbox_dashboard.xlsx]C̳álculos!billing_x_subscriptions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BILLING X SUBSCRIPTION TYPE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C̳álculos!$B$27:$B$30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C̳álculos!$C$27:$C$30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A-4DB7-9DF0-0798893DE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8622832"/>
        <c:axId val="2008623664"/>
      </c:barChart>
      <c:catAx>
        <c:axId val="200862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8623664"/>
        <c:crosses val="autoZero"/>
        <c:auto val="1"/>
        <c:lblAlgn val="ctr"/>
        <c:lblOffset val="100"/>
        <c:noMultiLvlLbl val="0"/>
      </c:catAx>
      <c:valAx>
        <c:axId val="2008623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862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[xbox_dashboard.xlsx]C̳álculos!Tabela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COUPON X ASSIGNATURES</a:t>
            </a:r>
            <a:endParaRPr lang="pt-B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C̳álculos!$E$7:$E$10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C̳álculos!$F$7:$F$10</c:f>
              <c:numCache>
                <c:formatCode>General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A-4DD3-917A-B9AB3D0FA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54608"/>
        <c:axId val="63355440"/>
      </c:barChart>
      <c:catAx>
        <c:axId val="6335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355440"/>
        <c:crosses val="autoZero"/>
        <c:auto val="1"/>
        <c:lblAlgn val="ctr"/>
        <c:lblOffset val="100"/>
        <c:noMultiLvlLbl val="0"/>
      </c:catAx>
      <c:valAx>
        <c:axId val="63355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35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1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248841</xdr:colOff>
      <xdr:row>5</xdr:row>
      <xdr:rowOff>34529</xdr:rowOff>
    </xdr:from>
    <xdr:to>
      <xdr:col>12</xdr:col>
      <xdr:colOff>70247</xdr:colOff>
      <xdr:row>22</xdr:row>
      <xdr:rowOff>165497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DC69E147-9A30-4879-A8E4-3425E888249B}"/>
            </a:ext>
          </a:extLst>
        </xdr:cNvPr>
        <xdr:cNvGrpSpPr/>
      </xdr:nvGrpSpPr>
      <xdr:grpSpPr>
        <a:xfrm>
          <a:off x="2511029" y="1046560"/>
          <a:ext cx="6810374" cy="3345656"/>
          <a:chOff x="1785938" y="1166813"/>
          <a:chExt cx="6810375" cy="3345656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5D884834-BF2B-454A-AE1E-6C43B4CE06DC}"/>
              </a:ext>
            </a:extLst>
          </xdr:cNvPr>
          <xdr:cNvSpPr/>
        </xdr:nvSpPr>
        <xdr:spPr>
          <a:xfrm>
            <a:off x="1785938" y="1166813"/>
            <a:ext cx="6810375" cy="3345656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302B039D-0D4B-4053-BC1C-D175B485A834}"/>
              </a:ext>
            </a:extLst>
          </xdr:cNvPr>
          <xdr:cNvGraphicFramePr>
            <a:graphicFrameLocks/>
          </xdr:cNvGraphicFramePr>
        </xdr:nvGraphicFramePr>
        <xdr:xfrm>
          <a:off x="2047875" y="1321593"/>
          <a:ext cx="6203155" cy="30956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oneCell">
    <xdr:from>
      <xdr:col>0</xdr:col>
      <xdr:colOff>35718</xdr:colOff>
      <xdr:row>1</xdr:row>
      <xdr:rowOff>107156</xdr:rowOff>
    </xdr:from>
    <xdr:to>
      <xdr:col>0</xdr:col>
      <xdr:colOff>1472567</xdr:colOff>
      <xdr:row>2</xdr:row>
      <xdr:rowOff>35719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041427-43DA-49DD-BA9D-26435BF72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" y="285750"/>
          <a:ext cx="1436849" cy="428625"/>
        </a:xfrm>
        <a:prstGeom prst="rect">
          <a:avLst/>
        </a:prstGeom>
      </xdr:spPr>
    </xdr:pic>
    <xdr:clientData/>
  </xdr:twoCellAnchor>
  <xdr:twoCellAnchor>
    <xdr:from>
      <xdr:col>1</xdr:col>
      <xdr:colOff>248841</xdr:colOff>
      <xdr:row>25</xdr:row>
      <xdr:rowOff>50601</xdr:rowOff>
    </xdr:from>
    <xdr:to>
      <xdr:col>12</xdr:col>
      <xdr:colOff>70247</xdr:colOff>
      <xdr:row>44</xdr:row>
      <xdr:rowOff>2976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19A2448B-B913-4463-B7C4-433F7CDB21AC}"/>
            </a:ext>
          </a:extLst>
        </xdr:cNvPr>
        <xdr:cNvGrpSpPr/>
      </xdr:nvGrpSpPr>
      <xdr:grpSpPr>
        <a:xfrm>
          <a:off x="2511029" y="4813101"/>
          <a:ext cx="6810374" cy="3345656"/>
          <a:chOff x="9927432" y="2164556"/>
          <a:chExt cx="6810375" cy="3345656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9C0F97C-73EF-4602-A516-3F246A8BF7C7}"/>
              </a:ext>
            </a:extLst>
          </xdr:cNvPr>
          <xdr:cNvSpPr/>
        </xdr:nvSpPr>
        <xdr:spPr>
          <a:xfrm>
            <a:off x="9927432" y="2164556"/>
            <a:ext cx="6810375" cy="3345656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2B216596-4219-4A78-A481-752DFF57FA77}"/>
              </a:ext>
            </a:extLst>
          </xdr:cNvPr>
          <xdr:cNvGraphicFramePr>
            <a:graphicFrameLocks/>
          </xdr:cNvGraphicFramePr>
        </xdr:nvGraphicFramePr>
        <xdr:xfrm>
          <a:off x="10367964" y="2277666"/>
          <a:ext cx="5929311" cy="31194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12</xdr:col>
      <xdr:colOff>626269</xdr:colOff>
      <xdr:row>5</xdr:row>
      <xdr:rowOff>34529</xdr:rowOff>
    </xdr:from>
    <xdr:to>
      <xdr:col>22</xdr:col>
      <xdr:colOff>531019</xdr:colOff>
      <xdr:row>22</xdr:row>
      <xdr:rowOff>165497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3C928B44-EFC7-413F-B655-53EFAFF3A0B3}"/>
            </a:ext>
          </a:extLst>
        </xdr:cNvPr>
        <xdr:cNvGrpSpPr/>
      </xdr:nvGrpSpPr>
      <xdr:grpSpPr>
        <a:xfrm>
          <a:off x="9877425" y="1046560"/>
          <a:ext cx="6810375" cy="3345656"/>
          <a:chOff x="9140428" y="1057276"/>
          <a:chExt cx="6810375" cy="3345656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E1E023AA-82C6-4FE9-A360-BED6CE2409F2}"/>
              </a:ext>
            </a:extLst>
          </xdr:cNvPr>
          <xdr:cNvSpPr/>
        </xdr:nvSpPr>
        <xdr:spPr>
          <a:xfrm>
            <a:off x="9140428" y="1057276"/>
            <a:ext cx="6810375" cy="3345656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9C8A84FF-EB45-4168-BEC1-65A6B753875D}"/>
              </a:ext>
            </a:extLst>
          </xdr:cNvPr>
          <xdr:cNvGraphicFramePr>
            <a:graphicFrameLocks/>
          </xdr:cNvGraphicFramePr>
        </xdr:nvGraphicFramePr>
        <xdr:xfrm>
          <a:off x="9691687" y="1177527"/>
          <a:ext cx="5798344" cy="30599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12</xdr:col>
      <xdr:colOff>626269</xdr:colOff>
      <xdr:row>25</xdr:row>
      <xdr:rowOff>50601</xdr:rowOff>
    </xdr:from>
    <xdr:to>
      <xdr:col>22</xdr:col>
      <xdr:colOff>531019</xdr:colOff>
      <xdr:row>44</xdr:row>
      <xdr:rowOff>2976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E80E647C-82F9-424C-B130-8F5B9780102F}"/>
            </a:ext>
          </a:extLst>
        </xdr:cNvPr>
        <xdr:cNvGrpSpPr/>
      </xdr:nvGrpSpPr>
      <xdr:grpSpPr>
        <a:xfrm>
          <a:off x="9877425" y="4813101"/>
          <a:ext cx="6810375" cy="3345656"/>
          <a:chOff x="9139238" y="4813101"/>
          <a:chExt cx="6810375" cy="3345656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332EF40D-2D90-4741-B86C-F4D99EE758D8}"/>
              </a:ext>
            </a:extLst>
          </xdr:cNvPr>
          <xdr:cNvSpPr/>
        </xdr:nvSpPr>
        <xdr:spPr>
          <a:xfrm>
            <a:off x="9139238" y="4813101"/>
            <a:ext cx="6810375" cy="3345656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7630421E-7092-447D-9992-B6193320FA14}"/>
              </a:ext>
            </a:extLst>
          </xdr:cNvPr>
          <xdr:cNvGraphicFramePr>
            <a:graphicFrameLocks/>
          </xdr:cNvGraphicFramePr>
        </xdr:nvGraphicFramePr>
        <xdr:xfrm>
          <a:off x="9596437" y="5036344"/>
          <a:ext cx="5893593" cy="29884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 editAs="oneCell">
    <xdr:from>
      <xdr:col>0</xdr:col>
      <xdr:colOff>0</xdr:colOff>
      <xdr:row>6</xdr:row>
      <xdr:rowOff>57151</xdr:rowOff>
    </xdr:from>
    <xdr:to>
      <xdr:col>0</xdr:col>
      <xdr:colOff>1964531</xdr:colOff>
      <xdr:row>12</xdr:row>
      <xdr:rowOff>35719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Plan">
              <a:extLst>
                <a:ext uri="{FF2B5EF4-FFF2-40B4-BE49-F238E27FC236}">
                  <a16:creationId xmlns:a16="http://schemas.microsoft.com/office/drawing/2014/main" id="{AD01FD12-C8FD-45CF-BC13-C848664510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88245"/>
              <a:ext cx="1964531" cy="1288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12</xdr:row>
      <xdr:rowOff>57151</xdr:rowOff>
    </xdr:from>
    <xdr:to>
      <xdr:col>0</xdr:col>
      <xdr:colOff>1988344</xdr:colOff>
      <xdr:row>19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Subscription Type">
              <a:extLst>
                <a:ext uri="{FF2B5EF4-FFF2-40B4-BE49-F238E27FC236}">
                  <a16:creationId xmlns:a16="http://schemas.microsoft.com/office/drawing/2014/main" id="{646EE584-2B8B-42F1-B889-D62C4AAAFE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97932"/>
              <a:ext cx="1988344" cy="12882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" refreshedDate="46025.637388078707" createdVersion="7" refreshedVersion="7" minRefreshableVersion="3" recordCount="295" xr:uid="{AD100160-05ED-40A4-926A-5151B72FE31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775476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F6645-389E-4667-A6EE-748738AEF64E}" name="Tabela dinâmica4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E6:F10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Coupon Value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5BDED-2196-490B-ADE2-D0C8B8D8306A}" name="billing_x_subscriptions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B26:C30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DF87B-B7BE-413C-ADAC-FE09F41763D7}" name="percent_auto_revewal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7:C20" firstHeaderRow="1" firstDataRow="1" firstDataCol="1" rowPageCount="1" colPageCount="1"/>
  <pivotFields count="13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/>
    <pivotField axis="axisRow" dataField="1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Contagem de Auto Renewal" fld="4" subtotal="count" showDataAs="percentOfTotal" baseField="4" baseItem="0" numFmtId="1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FB41D-B7AC-4C0E-9FF6-16BD63CA3AA0}" name="billing_x_assignatures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B6:C1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Soma de Total Value" fld="12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829037DE-DDE4-4D30-B3CD-99E9A25E864D}" sourceName="Plan">
  <pivotTables>
    <pivotTable tabId="3" name="Tabela dinâmica4"/>
    <pivotTable tabId="3" name="billing_x_subscriptions"/>
    <pivotTable tabId="3" name="percent_auto_revewal"/>
  </pivotTables>
  <data>
    <tabular pivotCacheId="1877547619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21CC402-9923-490D-8A6D-FAF04D4DF24C}" sourceName="Subscription Type">
  <pivotTables>
    <pivotTable tabId="3" name="billing_x_assignatures"/>
    <pivotTable tabId="3" name="percent_auto_revewal"/>
    <pivotTable tabId="3" name="Tabela dinâmica4"/>
  </pivotTables>
  <data>
    <tabular pivotCacheId="1877547619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5D5D82DB-3CEF-4346-8004-90344E0820EE}" cache="SegmentaçãodeDados_Plan" caption="Plan" style="SlicerStyleOther2 2" rowHeight="241300"/>
  <slicer name="Subscription Type" xr10:uid="{8AA064D4-70DA-4E0A-BE13-C41D279CAFDE}" cache="SegmentaçãodeDados_Subscription_Type" caption="Subscription Type" style="SlicerStyleOther2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K18" sqref="K18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0"/>
  <sheetViews>
    <sheetView showGridLines="0" workbookViewId="0">
      <selection activeCell="E6" sqref="E6"/>
    </sheetView>
  </sheetViews>
  <sheetFormatPr defaultRowHeight="14.25"/>
  <cols>
    <col min="2" max="2" width="18" bestFit="1" customWidth="1"/>
    <col min="3" max="3" width="25.75" bestFit="1" customWidth="1"/>
    <col min="4" max="4" width="30.625" bestFit="1" customWidth="1"/>
    <col min="5" max="5" width="18" bestFit="1" customWidth="1"/>
    <col min="6" max="6" width="21.7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6">
      <c r="B2" t="s">
        <v>313</v>
      </c>
    </row>
    <row r="3" spans="2:6">
      <c r="E3" s="13" t="s">
        <v>322</v>
      </c>
    </row>
    <row r="4" spans="2:6">
      <c r="B4" s="12" t="s">
        <v>15</v>
      </c>
      <c r="C4" t="s">
        <v>317</v>
      </c>
    </row>
    <row r="6" spans="2:6">
      <c r="B6" s="12" t="s">
        <v>314</v>
      </c>
      <c r="C6" t="s">
        <v>316</v>
      </c>
      <c r="E6" s="12" t="s">
        <v>314</v>
      </c>
      <c r="F6" t="s">
        <v>323</v>
      </c>
    </row>
    <row r="7" spans="2:6">
      <c r="B7" s="13" t="s">
        <v>22</v>
      </c>
      <c r="C7" s="14">
        <v>444</v>
      </c>
      <c r="E7" s="13" t="s">
        <v>22</v>
      </c>
      <c r="F7" s="14">
        <v>61</v>
      </c>
    </row>
    <row r="8" spans="2:6">
      <c r="B8" s="13" t="s">
        <v>26</v>
      </c>
      <c r="C8" s="14">
        <v>1801</v>
      </c>
      <c r="E8" s="13" t="s">
        <v>26</v>
      </c>
      <c r="F8" s="14">
        <v>1079</v>
      </c>
    </row>
    <row r="9" spans="2:6">
      <c r="B9" s="13" t="s">
        <v>18</v>
      </c>
      <c r="C9" s="14">
        <v>5388</v>
      </c>
      <c r="E9" s="13" t="s">
        <v>18</v>
      </c>
      <c r="F9" s="14">
        <v>982</v>
      </c>
    </row>
    <row r="10" spans="2:6">
      <c r="B10" s="13" t="s">
        <v>315</v>
      </c>
      <c r="C10" s="14">
        <v>7633</v>
      </c>
      <c r="E10" s="13" t="s">
        <v>315</v>
      </c>
      <c r="F10" s="14">
        <v>2122</v>
      </c>
    </row>
    <row r="13" spans="2:6">
      <c r="B13" s="13" t="s">
        <v>318</v>
      </c>
    </row>
    <row r="15" spans="2:6">
      <c r="B15" s="12" t="s">
        <v>13</v>
      </c>
      <c r="C15" t="s">
        <v>317</v>
      </c>
    </row>
    <row r="17" spans="2:3">
      <c r="B17" s="12" t="s">
        <v>314</v>
      </c>
      <c r="C17" t="s">
        <v>319</v>
      </c>
    </row>
    <row r="18" spans="2:3">
      <c r="B18" s="13" t="s">
        <v>23</v>
      </c>
      <c r="C18" s="15">
        <v>0.49830508474576274</v>
      </c>
    </row>
    <row r="19" spans="2:3">
      <c r="B19" s="13" t="s">
        <v>19</v>
      </c>
      <c r="C19" s="15">
        <v>0.50169491525423726</v>
      </c>
    </row>
    <row r="20" spans="2:3">
      <c r="B20" s="13" t="s">
        <v>315</v>
      </c>
      <c r="C20" s="15">
        <v>1</v>
      </c>
    </row>
    <row r="23" spans="2:3">
      <c r="B23" s="13" t="s">
        <v>320</v>
      </c>
    </row>
    <row r="26" spans="2:3">
      <c r="B26" s="12" t="s">
        <v>314</v>
      </c>
      <c r="C26" t="s">
        <v>316</v>
      </c>
    </row>
    <row r="27" spans="2:3">
      <c r="B27" s="13" t="s">
        <v>24</v>
      </c>
      <c r="C27" s="14">
        <v>1754</v>
      </c>
    </row>
    <row r="28" spans="2:3">
      <c r="B28" s="13" t="s">
        <v>20</v>
      </c>
      <c r="C28" s="14">
        <v>3571</v>
      </c>
    </row>
    <row r="29" spans="2:3">
      <c r="B29" s="13" t="s">
        <v>27</v>
      </c>
      <c r="C29" s="14">
        <v>2308</v>
      </c>
    </row>
    <row r="30" spans="2:3">
      <c r="B30" s="13" t="s">
        <v>315</v>
      </c>
      <c r="C30" s="14">
        <v>7633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50"/>
  <sheetViews>
    <sheetView showGridLines="0" tabSelected="1" zoomScale="80" zoomScaleNormal="80" workbookViewId="0">
      <selection activeCell="X2" sqref="X2"/>
    </sheetView>
  </sheetViews>
  <sheetFormatPr defaultRowHeight="14.25"/>
  <cols>
    <col min="1" max="1" width="29.625" style="4" customWidth="1"/>
    <col min="2" max="2" width="3.625" customWidth="1"/>
    <col min="11" max="11" width="9" customWidth="1"/>
    <col min="12" max="12" width="6.625" customWidth="1"/>
  </cols>
  <sheetData>
    <row r="2" spans="1:18" ht="39" customHeight="1" thickBot="1">
      <c r="C2" s="16" t="s">
        <v>321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8.25" customHeight="1" thickTop="1"/>
    <row r="4" spans="1:18" s="7" customFormat="1" ht="7.5" customHeight="1">
      <c r="A4" s="4"/>
    </row>
    <row r="5" spans="1:18" s="7" customFormat="1" ht="10.5" customHeight="1">
      <c r="A5" s="4"/>
    </row>
    <row r="6" spans="1:18" s="7" customFormat="1" ht="9.75" customHeight="1">
      <c r="A6" s="4"/>
    </row>
    <row r="7" spans="1:18" s="7" customFormat="1" ht="33" customHeight="1">
      <c r="A7" s="4"/>
    </row>
    <row r="8" spans="1:18" s="7" customFormat="1">
      <c r="A8" s="4"/>
    </row>
    <row r="9" spans="1:18" s="7" customFormat="1">
      <c r="A9" s="4"/>
    </row>
    <row r="10" spans="1:18" s="7" customFormat="1">
      <c r="A10" s="4"/>
    </row>
    <row r="11" spans="1:18" s="7" customFormat="1">
      <c r="A11" s="4"/>
    </row>
    <row r="12" spans="1:18" s="7" customFormat="1">
      <c r="A12" s="4"/>
    </row>
    <row r="13" spans="1:18" s="7" customFormat="1">
      <c r="A13" s="4"/>
    </row>
    <row r="14" spans="1:18" s="7" customFormat="1">
      <c r="A14" s="4"/>
    </row>
    <row r="15" spans="1:18" s="7" customFormat="1">
      <c r="A15" s="4"/>
    </row>
    <row r="16" spans="1:18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Jacques Wolff</cp:lastModifiedBy>
  <dcterms:created xsi:type="dcterms:W3CDTF">2024-12-19T13:13:10Z</dcterms:created>
  <dcterms:modified xsi:type="dcterms:W3CDTF">2026-01-03T20:12:36Z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